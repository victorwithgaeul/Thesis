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xperiment\DEC_ANcode\Synthesizer\"/>
    </mc:Choice>
  </mc:AlternateContent>
  <xr:revisionPtr revIDLastSave="0" documentId="13_ncr:1_{224C66B3-A201-4B7B-95DF-CBF6833DF59E}" xr6:coauthVersionLast="47" xr6:coauthVersionMax="47" xr10:uidLastSave="{00000000-0000-0000-0000-000000000000}"/>
  <bookViews>
    <workbookView xWindow="31500" yWindow="1380" windowWidth="18516" windowHeight="9084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O16" i="1"/>
  <c r="O14" i="1"/>
  <c r="K14" i="1"/>
  <c r="L17" i="1"/>
  <c r="G18" i="1"/>
  <c r="G14" i="1"/>
  <c r="F17" i="1"/>
  <c r="P20" i="1"/>
  <c r="P19" i="1"/>
  <c r="P18" i="1"/>
  <c r="P17" i="1"/>
  <c r="P16" i="1"/>
  <c r="P14" i="1"/>
  <c r="L20" i="1"/>
  <c r="L19" i="1"/>
  <c r="L18" i="1"/>
  <c r="L16" i="1"/>
  <c r="L15" i="1"/>
  <c r="L14" i="1"/>
  <c r="H20" i="1"/>
  <c r="H19" i="1"/>
  <c r="H18" i="1"/>
  <c r="H17" i="1"/>
  <c r="H16" i="1"/>
  <c r="H15" i="1"/>
  <c r="H14" i="1"/>
  <c r="F14" i="1"/>
  <c r="O20" i="1"/>
  <c r="O19" i="1"/>
  <c r="O18" i="1"/>
  <c r="O17" i="1"/>
  <c r="O15" i="1"/>
  <c r="K20" i="1"/>
  <c r="K19" i="1"/>
  <c r="K18" i="1"/>
  <c r="K17" i="1"/>
  <c r="K16" i="1"/>
  <c r="K15" i="1"/>
  <c r="G20" i="1"/>
  <c r="G19" i="1"/>
  <c r="G17" i="1"/>
  <c r="G16" i="1"/>
  <c r="G15" i="1"/>
  <c r="F19" i="1"/>
  <c r="F20" i="1"/>
  <c r="F18" i="1"/>
  <c r="F16" i="1"/>
  <c r="F15" i="1"/>
  <c r="I14" i="1"/>
  <c r="I20" i="1"/>
  <c r="I19" i="1"/>
  <c r="I18" i="1"/>
  <c r="I17" i="1"/>
  <c r="I16" i="1"/>
  <c r="I15" i="1"/>
</calcChain>
</file>

<file path=xl/sharedStrings.xml><?xml version="1.0" encoding="utf-8"?>
<sst xmlns="http://schemas.openxmlformats.org/spreadsheetml/2006/main" count="42" uniqueCount="18">
  <si>
    <t>Data bits</t>
    <phoneticPr fontId="1" type="noConversion"/>
  </si>
  <si>
    <t>Amin</t>
    <phoneticPr fontId="1" type="noConversion"/>
  </si>
  <si>
    <t>A_bits</t>
    <phoneticPr fontId="1" type="noConversion"/>
  </si>
  <si>
    <t>N_bits</t>
    <phoneticPr fontId="1" type="noConversion"/>
  </si>
  <si>
    <t>Parallel</t>
    <phoneticPr fontId="1" type="noConversion"/>
  </si>
  <si>
    <t>Sequential</t>
    <phoneticPr fontId="1" type="noConversion"/>
  </si>
  <si>
    <t>Trade-off</t>
    <phoneticPr fontId="1" type="noConversion"/>
  </si>
  <si>
    <t>Parallel time</t>
    <phoneticPr fontId="1" type="noConversion"/>
  </si>
  <si>
    <t>Sequential Area</t>
    <phoneticPr fontId="1" type="noConversion"/>
  </si>
  <si>
    <t>C</t>
    <phoneticPr fontId="1" type="noConversion"/>
  </si>
  <si>
    <t>Time Normalization</t>
    <phoneticPr fontId="1" type="noConversion"/>
  </si>
  <si>
    <t>Area Normaliztion</t>
    <phoneticPr fontId="1" type="noConversion"/>
  </si>
  <si>
    <t>Area Normalization</t>
    <phoneticPr fontId="1" type="noConversion"/>
  </si>
  <si>
    <t>Sequential Time (s)</t>
    <phoneticPr fontId="1" type="noConversion"/>
  </si>
  <si>
    <t>Trade-off Time (s)</t>
    <phoneticPr fontId="1" type="noConversion"/>
  </si>
  <si>
    <t>Parallel Area (um2)</t>
    <phoneticPr fontId="1" type="noConversion"/>
  </si>
  <si>
    <t>Trade-off Area (um2)</t>
    <phoneticPr fontId="1" type="noConversion"/>
  </si>
  <si>
    <t>2025/2/13: Min-Max 歸一化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</si>
</sst>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0" fontId="0" fillId="2" borderId="0" xfId="0" applyFill="1" applyAlignment="1">
      <alignment horizontal="righ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A10" zoomScale="115" zoomScaleNormal="115" workbookViewId="0">
      <selection activeCell="F13" sqref="F13"/>
    </sheetView>
  </sheetViews>
  <sheetFormatPr defaultRowHeight="14.5" x14ac:dyDescent="0.3"/>
  <cols>
    <col min="1" max="1" width="9.796875" bestFit="1" customWidth="1"/>
    <col min="5" max="5" width="9.3984375" bestFit="1" customWidth="1"/>
  </cols>
  <sheetData>
    <row r="1" spans="1:16" x14ac:dyDescent="0.3">
      <c r="A1" s="2">
        <v>45700</v>
      </c>
      <c r="E1" s="8" t="s">
        <v>4</v>
      </c>
      <c r="F1" s="8"/>
      <c r="G1" s="8" t="s">
        <v>5</v>
      </c>
      <c r="H1" s="8"/>
      <c r="I1" s="8"/>
      <c r="J1" s="8" t="s">
        <v>6</v>
      </c>
      <c r="K1" s="8"/>
      <c r="L1" s="8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7</v>
      </c>
      <c r="G2" t="s">
        <v>8</v>
      </c>
      <c r="H2" t="s">
        <v>13</v>
      </c>
      <c r="I2" t="s">
        <v>10</v>
      </c>
      <c r="J2" t="s">
        <v>16</v>
      </c>
      <c r="K2" t="s">
        <v>14</v>
      </c>
      <c r="L2" t="s">
        <v>10</v>
      </c>
    </row>
    <row r="3" spans="1:16" x14ac:dyDescent="0.3">
      <c r="A3">
        <v>4</v>
      </c>
      <c r="B3">
        <v>665</v>
      </c>
      <c r="C3">
        <v>10</v>
      </c>
      <c r="D3">
        <v>14</v>
      </c>
      <c r="E3">
        <v>17742.614333000001</v>
      </c>
      <c r="G3" s="1" t="s">
        <v>9</v>
      </c>
      <c r="H3">
        <v>4.0738868434526702E-3</v>
      </c>
      <c r="I3">
        <v>14860</v>
      </c>
      <c r="J3">
        <v>10699.315117</v>
      </c>
      <c r="K3">
        <v>4.7962482158954298E-4</v>
      </c>
      <c r="L3">
        <v>1752</v>
      </c>
    </row>
    <row r="4" spans="1:16" x14ac:dyDescent="0.3">
      <c r="A4">
        <v>8</v>
      </c>
      <c r="B4">
        <v>1939</v>
      </c>
      <c r="C4">
        <v>11</v>
      </c>
      <c r="D4">
        <v>19</v>
      </c>
      <c r="E4">
        <v>34210.310212999997</v>
      </c>
      <c r="G4" s="1" t="s">
        <v>9</v>
      </c>
      <c r="H4">
        <v>8.2575978676965606E-3</v>
      </c>
      <c r="I4">
        <v>30158</v>
      </c>
      <c r="J4">
        <v>18339.451015999999</v>
      </c>
      <c r="K4">
        <v>6.63412941826714E-4</v>
      </c>
      <c r="L4">
        <v>2410</v>
      </c>
    </row>
    <row r="5" spans="1:16" x14ac:dyDescent="0.3">
      <c r="A5">
        <v>12</v>
      </c>
      <c r="B5">
        <v>3349</v>
      </c>
      <c r="C5">
        <v>12</v>
      </c>
      <c r="D5">
        <v>24</v>
      </c>
      <c r="E5">
        <v>54434.015653000002</v>
      </c>
      <c r="G5" s="1" t="s">
        <v>9</v>
      </c>
      <c r="H5">
        <v>1.4124032692271599E-2</v>
      </c>
      <c r="I5">
        <v>51553</v>
      </c>
      <c r="J5">
        <v>28513.799654999999</v>
      </c>
      <c r="K5">
        <v>8.0684475276781101E-4</v>
      </c>
      <c r="L5">
        <v>2957</v>
      </c>
    </row>
    <row r="6" spans="1:16" x14ac:dyDescent="0.3">
      <c r="A6">
        <v>16</v>
      </c>
      <c r="B6">
        <v>4547</v>
      </c>
      <c r="C6">
        <v>13</v>
      </c>
      <c r="D6">
        <v>29</v>
      </c>
      <c r="E6">
        <v>76838.831621999998</v>
      </c>
      <c r="G6" s="1" t="s">
        <v>9</v>
      </c>
      <c r="H6">
        <v>2.0030766194709899E-2</v>
      </c>
      <c r="I6">
        <v>73130</v>
      </c>
      <c r="J6">
        <v>34779.023588999997</v>
      </c>
      <c r="K6">
        <v>1.0167786053248799E-3</v>
      </c>
      <c r="L6">
        <v>3724</v>
      </c>
    </row>
    <row r="7" spans="1:16" x14ac:dyDescent="0.3">
      <c r="A7">
        <v>20</v>
      </c>
      <c r="B7">
        <v>6311</v>
      </c>
      <c r="C7">
        <v>13</v>
      </c>
      <c r="D7">
        <v>33</v>
      </c>
      <c r="E7">
        <v>95568.882706000004</v>
      </c>
      <c r="G7" s="1" t="s">
        <v>9</v>
      </c>
      <c r="H7">
        <v>2.65959907925849E-2</v>
      </c>
      <c r="I7">
        <v>97117</v>
      </c>
      <c r="J7">
        <v>40531.780282</v>
      </c>
      <c r="K7">
        <v>1.1603720486164E-3</v>
      </c>
      <c r="L7">
        <v>4235</v>
      </c>
    </row>
    <row r="8" spans="1:16" x14ac:dyDescent="0.3">
      <c r="A8">
        <v>24</v>
      </c>
      <c r="B8">
        <v>13837</v>
      </c>
      <c r="C8">
        <v>14</v>
      </c>
      <c r="D8">
        <v>38</v>
      </c>
      <c r="E8">
        <v>121429.727369</v>
      </c>
      <c r="G8" s="1" t="s">
        <v>9</v>
      </c>
      <c r="H8">
        <v>3.5206554407276901E-2</v>
      </c>
      <c r="I8">
        <v>128553</v>
      </c>
      <c r="J8">
        <v>51121.727333000003</v>
      </c>
      <c r="K8">
        <v>1.2741153304641299E-3</v>
      </c>
      <c r="L8">
        <v>4637</v>
      </c>
    </row>
    <row r="9" spans="1:16" x14ac:dyDescent="0.3">
      <c r="A9">
        <v>28</v>
      </c>
      <c r="B9">
        <v>17619</v>
      </c>
      <c r="C9">
        <v>15</v>
      </c>
      <c r="D9">
        <v>43</v>
      </c>
      <c r="E9">
        <v>165939.378505</v>
      </c>
      <c r="G9" s="1" t="s">
        <v>9</v>
      </c>
      <c r="H9">
        <v>4.5453361854682801E-2</v>
      </c>
      <c r="I9">
        <v>165939</v>
      </c>
      <c r="J9">
        <v>63374.068039999998</v>
      </c>
      <c r="K9">
        <v>1.4021311487470299E-3</v>
      </c>
      <c r="L9">
        <v>5111</v>
      </c>
    </row>
    <row r="12" spans="1:16" x14ac:dyDescent="0.3">
      <c r="A12" s="2" t="s">
        <v>17</v>
      </c>
      <c r="E12" s="8" t="s">
        <v>4</v>
      </c>
      <c r="F12" s="8"/>
      <c r="G12" s="8"/>
      <c r="H12" s="8"/>
      <c r="I12" s="8" t="s">
        <v>5</v>
      </c>
      <c r="J12" s="8"/>
      <c r="K12" s="8"/>
      <c r="L12" s="8"/>
      <c r="M12" s="8" t="s">
        <v>6</v>
      </c>
      <c r="N12" s="8"/>
      <c r="O12" s="8"/>
      <c r="P12" s="8"/>
    </row>
    <row r="13" spans="1:16" x14ac:dyDescent="0.3">
      <c r="A13" t="s">
        <v>0</v>
      </c>
      <c r="B13" t="s">
        <v>1</v>
      </c>
      <c r="C13" t="s">
        <v>2</v>
      </c>
      <c r="D13" t="s">
        <v>3</v>
      </c>
      <c r="E13" t="s">
        <v>15</v>
      </c>
      <c r="F13" s="4" t="s">
        <v>7</v>
      </c>
      <c r="G13" s="6" t="s">
        <v>11</v>
      </c>
      <c r="H13" s="7" t="s">
        <v>10</v>
      </c>
      <c r="I13" s="4" t="s">
        <v>8</v>
      </c>
      <c r="J13" s="5" t="s">
        <v>13</v>
      </c>
      <c r="K13" s="6" t="s">
        <v>12</v>
      </c>
      <c r="L13" s="7" t="s">
        <v>10</v>
      </c>
      <c r="M13" t="s">
        <v>16</v>
      </c>
      <c r="N13" s="5" t="s">
        <v>14</v>
      </c>
      <c r="O13" s="6" t="s">
        <v>12</v>
      </c>
      <c r="P13" s="7" t="s">
        <v>10</v>
      </c>
    </row>
    <row r="14" spans="1:16" x14ac:dyDescent="0.3">
      <c r="A14">
        <v>4</v>
      </c>
      <c r="B14">
        <v>665</v>
      </c>
      <c r="C14">
        <v>10</v>
      </c>
      <c r="D14">
        <v>14</v>
      </c>
      <c r="E14">
        <v>17742.614333000001</v>
      </c>
      <c r="F14" s="4">
        <f t="shared" ref="F14:F20" si="0">(M14*N14)/E14</f>
        <v>2.8922778840866239E-4</v>
      </c>
      <c r="G14" s="6">
        <f>(E14-I14)/(E20-I14)</f>
        <v>0.10009105356448565</v>
      </c>
      <c r="H14" s="7">
        <f>(F14-F14)/(J20-F14)</f>
        <v>0</v>
      </c>
      <c r="I14" s="3">
        <f t="shared" ref="I14:I20" si="1">(M14*N14)/J14</f>
        <v>1259.6464509977113</v>
      </c>
      <c r="J14" s="5">
        <v>4.0738868434526702E-3</v>
      </c>
      <c r="K14" s="6">
        <f>(I14-I14)/(E20-I14)</f>
        <v>0</v>
      </c>
      <c r="L14" s="7">
        <f>(J14-F14)/(J20-F14)</f>
        <v>8.3797888153692365E-2</v>
      </c>
      <c r="M14">
        <v>10699.315117</v>
      </c>
      <c r="N14" s="5">
        <v>4.7962482158954298E-4</v>
      </c>
      <c r="O14" s="6">
        <f>(M14-I14)/(E20-I14)</f>
        <v>5.7321374939490452E-2</v>
      </c>
      <c r="P14" s="7">
        <f>(N14-F14)/(J20-F14)</f>
        <v>4.2156688513387804E-3</v>
      </c>
    </row>
    <row r="15" spans="1:16" x14ac:dyDescent="0.3">
      <c r="A15">
        <v>8</v>
      </c>
      <c r="B15">
        <v>1939</v>
      </c>
      <c r="C15">
        <v>11</v>
      </c>
      <c r="D15">
        <v>19</v>
      </c>
      <c r="E15">
        <v>34210.310212999997</v>
      </c>
      <c r="F15" s="4">
        <f t="shared" si="0"/>
        <v>3.5564217553888571E-4</v>
      </c>
      <c r="G15" s="6">
        <f>(E15-I14)/(E20-I14)</f>
        <v>0.20008936953575443</v>
      </c>
      <c r="H15" s="7">
        <f>(F15-F14)/(J20-F14)</f>
        <v>1.4705116903772897E-3</v>
      </c>
      <c r="I15" s="3">
        <f t="shared" si="1"/>
        <v>1473.3860070380654</v>
      </c>
      <c r="J15" s="5">
        <v>8.2575978676965606E-3</v>
      </c>
      <c r="K15" s="6">
        <f>(I15-I14)/(E20-I14)</f>
        <v>1.2979105162149759E-3</v>
      </c>
      <c r="L15" s="7">
        <f>(J15-F14)/(J20-F14)</f>
        <v>0.1764313706888537</v>
      </c>
      <c r="M15">
        <v>18339.451015999999</v>
      </c>
      <c r="N15" s="5">
        <v>6.63412941826714E-4</v>
      </c>
      <c r="O15" s="6">
        <f>(M15-I14)/(E20-I14)</f>
        <v>0.10371528027141448</v>
      </c>
      <c r="P15" s="7">
        <f>(N15-F14)/(J20-F14)</f>
        <v>8.2850067017552001E-3</v>
      </c>
    </row>
    <row r="16" spans="1:16" x14ac:dyDescent="0.3">
      <c r="A16">
        <v>12</v>
      </c>
      <c r="B16">
        <v>3349</v>
      </c>
      <c r="C16">
        <v>12</v>
      </c>
      <c r="D16">
        <v>24</v>
      </c>
      <c r="E16">
        <v>54434.015653000002</v>
      </c>
      <c r="F16" s="4">
        <f t="shared" si="0"/>
        <v>4.2264399120885794E-4</v>
      </c>
      <c r="G16" s="6">
        <f>(E16-I14)/(E20-I14)</f>
        <v>0.32289565047728636</v>
      </c>
      <c r="H16" s="7">
        <f>(F16-F14)/(J20-F14)</f>
        <v>2.9540299079889314E-3</v>
      </c>
      <c r="I16" s="3">
        <f t="shared" si="1"/>
        <v>1628.8697523121655</v>
      </c>
      <c r="J16" s="5">
        <v>1.4124032692271599E-2</v>
      </c>
      <c r="K16" s="6">
        <f>(I16-I14)/(E20-I14)</f>
        <v>2.2420688733776738E-3</v>
      </c>
      <c r="L16" s="7">
        <f>(J16-F14)/(J20-F14)</f>
        <v>0.30632281986324933</v>
      </c>
      <c r="M16">
        <v>28513.799654999999</v>
      </c>
      <c r="N16" s="5">
        <v>8.0684475276781101E-4</v>
      </c>
      <c r="O16" s="6">
        <f>(M16-I14)/(E20-I14)</f>
        <v>0.16549792050344739</v>
      </c>
      <c r="P16" s="7">
        <f>(N16-F14)/(J20-F14)</f>
        <v>1.1460796826074295E-2</v>
      </c>
    </row>
    <row r="17" spans="1:16" x14ac:dyDescent="0.3">
      <c r="A17">
        <v>16</v>
      </c>
      <c r="B17">
        <v>4547</v>
      </c>
      <c r="C17">
        <v>13</v>
      </c>
      <c r="D17">
        <v>29</v>
      </c>
      <c r="E17">
        <v>76838.831621999998</v>
      </c>
      <c r="F17" s="4">
        <f t="shared" si="0"/>
        <v>4.6021739728353356E-4</v>
      </c>
      <c r="G17" s="6">
        <f>(E17-I14)/(E20-I14)</f>
        <v>0.45894649103642049</v>
      </c>
      <c r="H17" s="7">
        <f>(F17-F14)/(J20-F14)</f>
        <v>3.7859600855838379E-3</v>
      </c>
      <c r="I17" s="3">
        <f t="shared" si="1"/>
        <v>1765.4126035739823</v>
      </c>
      <c r="J17" s="5">
        <v>2.0030766194709899E-2</v>
      </c>
      <c r="K17" s="6">
        <f>(I17-I14)/(E20-I14)</f>
        <v>3.0712106843264631E-3</v>
      </c>
      <c r="L17" s="7">
        <f>(J17-F14)/(J20-F14)</f>
        <v>0.43710654071950938</v>
      </c>
      <c r="M17">
        <v>34779.023588999997</v>
      </c>
      <c r="N17" s="5">
        <v>1.0167786053248799E-3</v>
      </c>
      <c r="O17" s="6">
        <f>(M17-I14)/(E20-I14)</f>
        <v>0.20354282047902841</v>
      </c>
      <c r="P17" s="7">
        <f>(N17-F14)/(J20-F14)</f>
        <v>1.6109039439317154E-2</v>
      </c>
    </row>
    <row r="18" spans="1:16" x14ac:dyDescent="0.3">
      <c r="A18">
        <v>20</v>
      </c>
      <c r="B18">
        <v>6311</v>
      </c>
      <c r="C18">
        <v>13</v>
      </c>
      <c r="D18">
        <v>33</v>
      </c>
      <c r="E18">
        <v>95568.882706000004</v>
      </c>
      <c r="F18" s="4">
        <f t="shared" si="0"/>
        <v>4.9212613549725411E-4</v>
      </c>
      <c r="G18" s="6">
        <f>(E18-I14)/(E20-I14)</f>
        <v>0.57268271619531241</v>
      </c>
      <c r="H18" s="7">
        <f>(F18-F14)/(J20-F14)</f>
        <v>4.492466229748973E-3</v>
      </c>
      <c r="I18" s="3">
        <f t="shared" si="1"/>
        <v>1768.3847647069758</v>
      </c>
      <c r="J18" s="5">
        <v>2.65959907925849E-2</v>
      </c>
      <c r="K18" s="6">
        <f>(I18-I14)/(E20-I14)</f>
        <v>3.0892588138438158E-3</v>
      </c>
      <c r="L18" s="7">
        <f>(J18-F14)/(J20-F14)</f>
        <v>0.58247021775228824</v>
      </c>
      <c r="M18">
        <v>40531.780282</v>
      </c>
      <c r="N18" s="5">
        <v>1.1603720486164E-3</v>
      </c>
      <c r="O18" s="6">
        <f>(M18-I14)/(E20-I14)</f>
        <v>0.2384758181299691</v>
      </c>
      <c r="P18" s="7">
        <f>(N18-F14)/(J20-F14)</f>
        <v>1.9288408340330736E-2</v>
      </c>
    </row>
    <row r="19" spans="1:16" x14ac:dyDescent="0.3">
      <c r="A19">
        <v>24</v>
      </c>
      <c r="B19">
        <v>13837</v>
      </c>
      <c r="C19">
        <v>14</v>
      </c>
      <c r="D19">
        <v>38</v>
      </c>
      <c r="E19">
        <v>121429.727369</v>
      </c>
      <c r="F19" s="4">
        <f t="shared" si="0"/>
        <v>5.3640058267487192E-4</v>
      </c>
      <c r="G19" s="6">
        <f>(E19-I14)/(E20-I14)</f>
        <v>0.72971992010890419</v>
      </c>
      <c r="H19" s="7">
        <f>(F19-F14)/(J20-F14)</f>
        <v>5.4727672604883018E-3</v>
      </c>
      <c r="I19" s="3">
        <f t="shared" si="1"/>
        <v>1850.0809753004282</v>
      </c>
      <c r="J19" s="5">
        <v>3.5206554407276901E-2</v>
      </c>
      <c r="K19" s="6">
        <f>(I19-I14)/(E20-I14)</f>
        <v>3.5853502852986169E-3</v>
      </c>
      <c r="L19" s="7">
        <f>(J19-F14)/(J20-F14)</f>
        <v>0.7731206927964196</v>
      </c>
      <c r="M19">
        <v>51121.727333000003</v>
      </c>
      <c r="N19" s="5">
        <v>1.2741153304641299E-3</v>
      </c>
      <c r="O19" s="6">
        <f>(M19-I14)/(E20-I14)</f>
        <v>0.3027821351181903</v>
      </c>
      <c r="P19" s="7">
        <f>(N19-F14)/(J20-F14)</f>
        <v>2.1806850998410315E-2</v>
      </c>
    </row>
    <row r="20" spans="1:16" x14ac:dyDescent="0.3">
      <c r="A20">
        <v>28</v>
      </c>
      <c r="B20">
        <v>17619</v>
      </c>
      <c r="C20">
        <v>15</v>
      </c>
      <c r="D20">
        <v>43</v>
      </c>
      <c r="E20">
        <v>165939.378505</v>
      </c>
      <c r="F20" s="4">
        <f t="shared" si="0"/>
        <v>5.3548925892246961E-4</v>
      </c>
      <c r="G20" s="6">
        <f>(E20-I14)/(E20-I14)</f>
        <v>1</v>
      </c>
      <c r="H20" s="7">
        <f>(F20-F14)/(J20-F14)</f>
        <v>5.4525892194111714E-3</v>
      </c>
      <c r="I20" s="3">
        <f t="shared" si="1"/>
        <v>1954.9435112365186</v>
      </c>
      <c r="J20" s="5">
        <v>4.5453361854682801E-2</v>
      </c>
      <c r="K20" s="6">
        <f>(I20-I14)/(E20-I14)</f>
        <v>4.2221167812612377E-3</v>
      </c>
      <c r="L20" s="7">
        <f>(J20-F14)/(J20-F14)</f>
        <v>1</v>
      </c>
      <c r="M20">
        <v>63374.068039999998</v>
      </c>
      <c r="N20" s="5">
        <v>1.4021311487470299E-3</v>
      </c>
      <c r="O20" s="6">
        <f>(M20-I14)/(E20-I14)</f>
        <v>0.37718315917974371</v>
      </c>
      <c r="P20" s="7">
        <f>(N20-F14)/(J20-F14)</f>
        <v>2.4641308492824993E-2</v>
      </c>
    </row>
  </sheetData>
  <mergeCells count="6">
    <mergeCell ref="M12:P12"/>
    <mergeCell ref="E1:F1"/>
    <mergeCell ref="G1:I1"/>
    <mergeCell ref="J1:L1"/>
    <mergeCell ref="E12:H12"/>
    <mergeCell ref="I12:L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Liu</dc:creator>
  <cp:lastModifiedBy>victor Liu</cp:lastModifiedBy>
  <dcterms:created xsi:type="dcterms:W3CDTF">2015-06-05T18:19:34Z</dcterms:created>
  <dcterms:modified xsi:type="dcterms:W3CDTF">2025-02-14T11:02:14Z</dcterms:modified>
</cp:coreProperties>
</file>